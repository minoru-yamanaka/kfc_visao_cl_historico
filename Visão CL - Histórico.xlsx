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oru\Downloads\KFC_VISAO_CL_HISTORICO\"/>
    </mc:Choice>
  </mc:AlternateContent>
  <xr:revisionPtr revIDLastSave="0" documentId="13_ncr:1_{350DEABC-81CE-4E21-B9FD-73AD0F5855C1}" xr6:coauthVersionLast="47" xr6:coauthVersionMax="47" xr10:uidLastSave="{00000000-0000-0000-0000-000000000000}"/>
  <bookViews>
    <workbookView xWindow="-20610" yWindow="360" windowWidth="20730" windowHeight="1128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3" i="1"/>
  <c r="L16" i="1"/>
  <c r="L17" i="1"/>
  <c r="L19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" i="1"/>
  <c r="M2" i="1"/>
  <c r="M3" i="1"/>
  <c r="M4" i="1"/>
  <c r="M5" i="1"/>
  <c r="M6" i="1"/>
  <c r="M7" i="1"/>
  <c r="M8" i="1"/>
  <c r="M9" i="1"/>
  <c r="M10" i="1"/>
  <c r="M11" i="1"/>
  <c r="M13" i="1"/>
  <c r="M16" i="1"/>
  <c r="M17" i="1"/>
  <c r="M19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6" i="1"/>
  <c r="K17" i="1"/>
  <c r="K18" i="1"/>
  <c r="K19" i="1"/>
  <c r="K20" i="1"/>
</calcChain>
</file>

<file path=xl/sharedStrings.xml><?xml version="1.0" encoding="utf-8"?>
<sst xmlns="http://schemas.openxmlformats.org/spreadsheetml/2006/main" count="86" uniqueCount="35">
  <si>
    <t>FC</t>
  </si>
  <si>
    <t>PRAÇA DA REPÚBLICA (SP)</t>
  </si>
  <si>
    <t>IL</t>
  </si>
  <si>
    <t>CAMPINA GRANDE</t>
  </si>
  <si>
    <t>RIO CLARO</t>
  </si>
  <si>
    <t>FS</t>
  </si>
  <si>
    <t>RIOMAR KENNEDY</t>
  </si>
  <si>
    <t>NORTH JOQUEI</t>
  </si>
  <si>
    <t>FC SHOPPING CURITIBA</t>
  </si>
  <si>
    <t>FC SHOPPING SÃO JOSÉ</t>
  </si>
  <si>
    <t>ELIAS YASBEK (EMBU DAS ARTES)</t>
  </si>
  <si>
    <t>SHOPPING RIO POTY</t>
  </si>
  <si>
    <t>SH BURITI GUARÁ</t>
  </si>
  <si>
    <t>TERESINA SHOPPING</t>
  </si>
  <si>
    <t>ITU</t>
  </si>
  <si>
    <t>BOTAFOGO PRAIA SHOPPING</t>
  </si>
  <si>
    <t>BOULEVARD FEIRA DE SANTANA</t>
  </si>
  <si>
    <t>DUQUE DE CAXIAS (WASHINGTON LUIS)</t>
  </si>
  <si>
    <t>SUZANO</t>
  </si>
  <si>
    <t>JK SHOPPING TAGUATINGA</t>
  </si>
  <si>
    <t>PERUÍBE</t>
  </si>
  <si>
    <t>ANDORINHA - SP</t>
  </si>
  <si>
    <t>Assinatura Contrato</t>
  </si>
  <si>
    <t>Solicitação CNPJ</t>
  </si>
  <si>
    <t>Emissão CNPJ</t>
  </si>
  <si>
    <t>Criação SAP</t>
  </si>
  <si>
    <t>Não Possui</t>
  </si>
  <si>
    <t>LOJA</t>
  </si>
  <si>
    <t>FORMATO</t>
  </si>
  <si>
    <t>Inauguração</t>
  </si>
  <si>
    <t>Plano de Ação</t>
  </si>
  <si>
    <t>Solicitação CNPJ até Emissão CNPJ</t>
  </si>
  <si>
    <t>Contrato Locação até Solicitação CNPJ</t>
  </si>
  <si>
    <t>Emissão do CNPJ até a Criação SAP</t>
  </si>
  <si>
    <t>Criação SAP até Inauguração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</si>
</sst>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b/>
      <sz val="1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border outline="0">
        <bottom style="thin">
          <color auto="1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D620E6-B178-499C-A788-C1761CE33CEC}" name="Tabela1" displayName="Tabela1" ref="A1:G20" totalsRowShown="0" headerRowDxfId="12" headerRowBorderDxfId="11">
  <autoFilter ref="A1:G20" xr:uid="{3BD620E6-B178-499C-A788-C1761CE33CEC}"/>
  <tableColumns count="7">
    <tableColumn id="1" xr3:uid="{E7FB6D6D-F7F7-4E14-B56F-D2A70F690A54}" name="LOJA"/>
    <tableColumn id="2" xr3:uid="{27AACBFF-17C4-45B1-AACC-43CF2200A4C5}" name="FORMATO"/>
    <tableColumn id="3" xr3:uid="{94D627F9-AF12-4B4B-9058-85DBB97C0710}" name="Assinatura Contrato" dataDxfId="10"/>
    <tableColumn id="4" xr3:uid="{BD3A6F61-B05C-4903-A03E-B6603E298367}" name="Solicitação CNPJ" dataDxfId="9"/>
    <tableColumn id="5" xr3:uid="{5DE50024-C48B-4BF9-B40B-9AD81624A142}" name="Emissão CNPJ" dataDxfId="8"/>
    <tableColumn id="6" xr3:uid="{EE3761B7-4116-46B9-B15E-EEAB0EED4D51}" name="Criação SAP" dataDxfId="7"/>
    <tableColumn id="7" xr3:uid="{2FCF2270-DB20-4AEA-A766-3C6CA1731FFF}" name="Inauguração" dataDxfId="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B1BD96-F560-45C0-BB4D-A9A35B9481FA}" name="Tabela2" displayName="Tabela2" ref="I1:M20" totalsRowShown="0" headerRowDxfId="5" tableBorderDxfId="4">
  <autoFilter ref="I1:M20" xr:uid="{44B1BD96-F560-45C0-BB4D-A9A35B9481FA}"/>
  <tableColumns count="5">
    <tableColumn id="1" xr3:uid="{0EACE226-8615-4CC3-9E43-B2E7E39D4D08}" name="LOJA" dataDxfId="3"/>
    <tableColumn id="2" xr3:uid="{3BFE8EB7-3101-4A3D-AD03-5B6140B4D697}" name="Contrato Locação até Solicitação CNPJ">
      <calculatedColumnFormula>Tabela1[[#This Row],[Solicitação CNPJ]]-Tabela1[[#This Row],[Assinatura Contrato]]</calculatedColumnFormula>
    </tableColumn>
    <tableColumn id="3" xr3:uid="{16F61292-7488-4D83-B1D5-1C38F087BCD4}" name="Solicitação CNPJ até Emissão CNPJ" dataDxfId="2">
      <calculatedColumnFormula>Tabela1[[#This Row],[Emissão CNPJ]]-Tabela1[[#This Row],[Solicitação CNPJ]]</calculatedColumnFormula>
    </tableColumn>
    <tableColumn id="4" xr3:uid="{15BCF613-52BF-4C2A-827E-8BAA1BD1A6A0}" name="Emissão do CNPJ até a Criação SAP" dataDxfId="1"/>
    <tableColumn id="5" xr3:uid="{667ADB8C-7CDD-496D-B46D-AB8EED463498}" name="Criação SAP até Inauguração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showGridLines="0" tabSelected="1" topLeftCell="E1" workbookViewId="0">
      <selection activeCell="H3" sqref="H3"/>
    </sheetView>
  </sheetViews>
  <sheetFormatPr defaultRowHeight="15"/>
  <cols>
    <col min="1" max="1" width="33.5703125" bestFit="1" customWidth="1"/>
    <col min="2" max="2" width="11.140625" customWidth="1"/>
    <col min="3" max="3" width="19" customWidth="1"/>
    <col min="4" max="4" width="16.42578125" style="1" customWidth="1"/>
    <col min="5" max="5" width="14.28515625" style="1" customWidth="1"/>
    <col min="6" max="6" width="15.5703125" style="1" customWidth="1"/>
    <col min="7" max="7" width="13.42578125" bestFit="1" customWidth="1"/>
    <col min="9" max="9" width="33.5703125" bestFit="1" customWidth="1"/>
    <col min="10" max="13" width="17.42578125" customWidth="1"/>
  </cols>
  <sheetData>
    <row r="1" spans="1:13" s="3" customFormat="1" ht="61.5" customHeight="1">
      <c r="A1" s="2" t="s">
        <v>27</v>
      </c>
      <c r="B1" s="2" t="s">
        <v>28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29</v>
      </c>
      <c r="I1" s="3" t="s">
        <v>27</v>
      </c>
      <c r="J1" s="4" t="s">
        <v>32</v>
      </c>
      <c r="K1" s="5" t="s">
        <v>31</v>
      </c>
      <c r="L1" s="9" t="s">
        <v>33</v>
      </c>
      <c r="M1" s="9" t="s">
        <v>34</v>
      </c>
    </row>
    <row r="2" spans="1:13">
      <c r="A2" t="s">
        <v>1</v>
      </c>
      <c r="B2" t="s">
        <v>2</v>
      </c>
      <c r="C2" s="1">
        <v>46146</v>
      </c>
      <c r="D2" s="1">
        <v>46108</v>
      </c>
      <c r="E2" s="1">
        <v>46158</v>
      </c>
      <c r="F2" s="1">
        <v>46184</v>
      </c>
      <c r="G2" s="1">
        <v>46322</v>
      </c>
      <c r="I2" t="s">
        <v>1</v>
      </c>
      <c r="J2">
        <f>Tabela1[[#This Row],[Solicitação CNPJ]]-Tabela1[[#This Row],[Assinatura Contrato]]</f>
        <v>-38</v>
      </c>
      <c r="K2">
        <f>Tabela1[[#This Row],[Emissão CNPJ]]-Tabela1[[#This Row],[Solicitação CNPJ]]</f>
        <v>50</v>
      </c>
      <c r="L2">
        <f>Tabela1[[#This Row],[Criação SAP]]-Tabela1[[#This Row],[Emissão CNPJ]]</f>
        <v>26</v>
      </c>
      <c r="M2">
        <f>Tabela1[[#This Row],[Inauguração]]-Tabela1[[#This Row],[Criação SAP]]</f>
        <v>138</v>
      </c>
    </row>
    <row r="3" spans="1:13">
      <c r="A3" t="s">
        <v>3</v>
      </c>
      <c r="B3" t="s">
        <v>0</v>
      </c>
      <c r="C3" s="1">
        <v>46146</v>
      </c>
      <c r="D3" s="1">
        <v>46168</v>
      </c>
      <c r="E3" s="1">
        <v>46205</v>
      </c>
      <c r="F3" s="1">
        <v>46239</v>
      </c>
      <c r="G3" s="1">
        <v>46325</v>
      </c>
      <c r="I3" t="s">
        <v>3</v>
      </c>
      <c r="J3">
        <f>Tabela1[[#This Row],[Solicitação CNPJ]]-Tabela1[[#This Row],[Assinatura Contrato]]</f>
        <v>22</v>
      </c>
      <c r="K3">
        <f>Tabela1[[#This Row],[Emissão CNPJ]]-Tabela1[[#This Row],[Solicitação CNPJ]]</f>
        <v>37</v>
      </c>
      <c r="L3">
        <f>Tabela1[[#This Row],[Criação SAP]]-Tabela1[[#This Row],[Emissão CNPJ]]</f>
        <v>34</v>
      </c>
      <c r="M3">
        <f>Tabela1[[#This Row],[Inauguração]]-Tabela1[[#This Row],[Criação SAP]]</f>
        <v>86</v>
      </c>
    </row>
    <row r="4" spans="1:13">
      <c r="A4" t="s">
        <v>4</v>
      </c>
      <c r="B4" t="s">
        <v>5</v>
      </c>
      <c r="C4" s="1">
        <v>46104</v>
      </c>
      <c r="D4" s="1">
        <v>46108</v>
      </c>
      <c r="E4" s="1">
        <v>46149</v>
      </c>
      <c r="F4" s="1">
        <v>46184</v>
      </c>
      <c r="G4" s="1">
        <v>46329</v>
      </c>
      <c r="I4" t="s">
        <v>4</v>
      </c>
      <c r="J4">
        <f>Tabela1[[#This Row],[Solicitação CNPJ]]-Tabela1[[#This Row],[Assinatura Contrato]]</f>
        <v>4</v>
      </c>
      <c r="K4">
        <f>Tabela1[[#This Row],[Emissão CNPJ]]-Tabela1[[#This Row],[Solicitação CNPJ]]</f>
        <v>41</v>
      </c>
      <c r="L4">
        <f>Tabela1[[#This Row],[Criação SAP]]-Tabela1[[#This Row],[Emissão CNPJ]]</f>
        <v>35</v>
      </c>
      <c r="M4">
        <f>Tabela1[[#This Row],[Inauguração]]-Tabela1[[#This Row],[Criação SAP]]</f>
        <v>145</v>
      </c>
    </row>
    <row r="5" spans="1:13">
      <c r="A5" t="s">
        <v>6</v>
      </c>
      <c r="B5" t="s">
        <v>0</v>
      </c>
      <c r="C5" s="1">
        <v>46190</v>
      </c>
      <c r="D5" s="1">
        <v>46174</v>
      </c>
      <c r="E5" s="1">
        <v>46205</v>
      </c>
      <c r="F5" s="1">
        <v>46243</v>
      </c>
      <c r="G5" s="1">
        <v>46338</v>
      </c>
      <c r="I5" t="s">
        <v>6</v>
      </c>
      <c r="J5">
        <f>Tabela1[[#This Row],[Solicitação CNPJ]]-Tabela1[[#This Row],[Assinatura Contrato]]</f>
        <v>-16</v>
      </c>
      <c r="K5">
        <f>Tabela1[[#This Row],[Emissão CNPJ]]-Tabela1[[#This Row],[Solicitação CNPJ]]</f>
        <v>31</v>
      </c>
      <c r="L5">
        <f>Tabela1[[#This Row],[Criação SAP]]-Tabela1[[#This Row],[Emissão CNPJ]]</f>
        <v>38</v>
      </c>
      <c r="M5">
        <f>Tabela1[[#This Row],[Inauguração]]-Tabela1[[#This Row],[Criação SAP]]</f>
        <v>95</v>
      </c>
    </row>
    <row r="6" spans="1:13">
      <c r="A6" t="s">
        <v>7</v>
      </c>
      <c r="B6" t="s">
        <v>0</v>
      </c>
      <c r="C6" s="1">
        <v>46157</v>
      </c>
      <c r="D6" s="1">
        <v>46168</v>
      </c>
      <c r="E6" s="1">
        <v>46205</v>
      </c>
      <c r="F6" s="1">
        <v>46239</v>
      </c>
      <c r="G6" s="1">
        <v>46343</v>
      </c>
      <c r="I6" t="s">
        <v>7</v>
      </c>
      <c r="J6">
        <f>Tabela1[[#This Row],[Solicitação CNPJ]]-Tabela1[[#This Row],[Assinatura Contrato]]</f>
        <v>11</v>
      </c>
      <c r="K6">
        <f>Tabela1[[#This Row],[Emissão CNPJ]]-Tabela1[[#This Row],[Solicitação CNPJ]]</f>
        <v>37</v>
      </c>
      <c r="L6">
        <f>Tabela1[[#This Row],[Criação SAP]]-Tabela1[[#This Row],[Emissão CNPJ]]</f>
        <v>34</v>
      </c>
      <c r="M6">
        <f>Tabela1[[#This Row],[Inauguração]]-Tabela1[[#This Row],[Criação SAP]]</f>
        <v>104</v>
      </c>
    </row>
    <row r="7" spans="1:13">
      <c r="A7" t="s">
        <v>8</v>
      </c>
      <c r="B7" t="s">
        <v>0</v>
      </c>
      <c r="C7" s="1">
        <v>46195</v>
      </c>
      <c r="D7" s="1">
        <v>46190</v>
      </c>
      <c r="E7" s="1">
        <v>46232</v>
      </c>
      <c r="F7" s="1">
        <v>46275</v>
      </c>
      <c r="G7" s="1">
        <v>46346</v>
      </c>
      <c r="I7" t="s">
        <v>8</v>
      </c>
      <c r="J7">
        <f>Tabela1[[#This Row],[Solicitação CNPJ]]-Tabela1[[#This Row],[Assinatura Contrato]]</f>
        <v>-5</v>
      </c>
      <c r="K7">
        <f>Tabela1[[#This Row],[Emissão CNPJ]]-Tabela1[[#This Row],[Solicitação CNPJ]]</f>
        <v>42</v>
      </c>
      <c r="L7">
        <f>Tabela1[[#This Row],[Criação SAP]]-Tabela1[[#This Row],[Emissão CNPJ]]</f>
        <v>43</v>
      </c>
      <c r="M7">
        <f>Tabela1[[#This Row],[Inauguração]]-Tabela1[[#This Row],[Criação SAP]]</f>
        <v>71</v>
      </c>
    </row>
    <row r="8" spans="1:13">
      <c r="A8" t="s">
        <v>9</v>
      </c>
      <c r="B8" t="s">
        <v>0</v>
      </c>
      <c r="C8" s="1">
        <v>46150</v>
      </c>
      <c r="D8" s="1">
        <v>46168</v>
      </c>
      <c r="E8" s="1">
        <v>46205</v>
      </c>
      <c r="F8" s="1">
        <v>46239</v>
      </c>
      <c r="G8" s="1">
        <v>46346</v>
      </c>
      <c r="I8" t="s">
        <v>9</v>
      </c>
      <c r="J8">
        <f>Tabela1[[#This Row],[Solicitação CNPJ]]-Tabela1[[#This Row],[Assinatura Contrato]]</f>
        <v>18</v>
      </c>
      <c r="K8">
        <f>Tabela1[[#This Row],[Emissão CNPJ]]-Tabela1[[#This Row],[Solicitação CNPJ]]</f>
        <v>37</v>
      </c>
      <c r="L8">
        <f>Tabela1[[#This Row],[Criação SAP]]-Tabela1[[#This Row],[Emissão CNPJ]]</f>
        <v>34</v>
      </c>
      <c r="M8">
        <f>Tabela1[[#This Row],[Inauguração]]-Tabela1[[#This Row],[Criação SAP]]</f>
        <v>107</v>
      </c>
    </row>
    <row r="9" spans="1:13">
      <c r="A9" t="s">
        <v>10</v>
      </c>
      <c r="B9" t="s">
        <v>5</v>
      </c>
      <c r="C9" s="1">
        <v>46195</v>
      </c>
      <c r="D9" s="1">
        <v>46163</v>
      </c>
      <c r="E9" s="1">
        <v>46205</v>
      </c>
      <c r="F9" s="1">
        <v>46239</v>
      </c>
      <c r="G9" s="1">
        <v>46352</v>
      </c>
      <c r="I9" t="s">
        <v>10</v>
      </c>
      <c r="J9">
        <f>Tabela1[[#This Row],[Solicitação CNPJ]]-Tabela1[[#This Row],[Assinatura Contrato]]</f>
        <v>-32</v>
      </c>
      <c r="K9">
        <f>Tabela1[[#This Row],[Emissão CNPJ]]-Tabela1[[#This Row],[Solicitação CNPJ]]</f>
        <v>42</v>
      </c>
      <c r="L9">
        <f>Tabela1[[#This Row],[Criação SAP]]-Tabela1[[#This Row],[Emissão CNPJ]]</f>
        <v>34</v>
      </c>
      <c r="M9">
        <f>Tabela1[[#This Row],[Inauguração]]-Tabela1[[#This Row],[Criação SAP]]</f>
        <v>113</v>
      </c>
    </row>
    <row r="10" spans="1:13">
      <c r="A10" t="s">
        <v>11</v>
      </c>
      <c r="B10" t="s">
        <v>0</v>
      </c>
      <c r="C10" s="1">
        <v>46218</v>
      </c>
      <c r="D10" s="1">
        <v>46234</v>
      </c>
      <c r="E10" s="1">
        <v>46283</v>
      </c>
      <c r="F10" s="1">
        <v>46309</v>
      </c>
      <c r="G10" s="1">
        <v>46356</v>
      </c>
      <c r="I10" t="s">
        <v>11</v>
      </c>
      <c r="J10">
        <f>Tabela1[[#This Row],[Solicitação CNPJ]]-Tabela1[[#This Row],[Assinatura Contrato]]</f>
        <v>16</v>
      </c>
      <c r="K10">
        <f>Tabela1[[#This Row],[Emissão CNPJ]]-Tabela1[[#This Row],[Solicitação CNPJ]]</f>
        <v>49</v>
      </c>
      <c r="L10">
        <f>Tabela1[[#This Row],[Criação SAP]]-Tabela1[[#This Row],[Emissão CNPJ]]</f>
        <v>26</v>
      </c>
      <c r="M10">
        <f>Tabela1[[#This Row],[Inauguração]]-Tabela1[[#This Row],[Criação SAP]]</f>
        <v>47</v>
      </c>
    </row>
    <row r="11" spans="1:13">
      <c r="A11" t="s">
        <v>12</v>
      </c>
      <c r="B11" t="s">
        <v>0</v>
      </c>
      <c r="C11" s="1">
        <v>46156</v>
      </c>
      <c r="D11" s="1">
        <v>46163</v>
      </c>
      <c r="E11" s="1">
        <v>46204</v>
      </c>
      <c r="F11" s="1">
        <v>46239</v>
      </c>
      <c r="G11" s="1">
        <v>46363</v>
      </c>
      <c r="I11" t="s">
        <v>12</v>
      </c>
      <c r="J11">
        <f>Tabela1[[#This Row],[Solicitação CNPJ]]-Tabela1[[#This Row],[Assinatura Contrato]]</f>
        <v>7</v>
      </c>
      <c r="K11">
        <f>Tabela1[[#This Row],[Emissão CNPJ]]-Tabela1[[#This Row],[Solicitação CNPJ]]</f>
        <v>41</v>
      </c>
      <c r="L11">
        <f>Tabela1[[#This Row],[Criação SAP]]-Tabela1[[#This Row],[Emissão CNPJ]]</f>
        <v>35</v>
      </c>
      <c r="M11">
        <f>Tabela1[[#This Row],[Inauguração]]-Tabela1[[#This Row],[Criação SAP]]</f>
        <v>124</v>
      </c>
    </row>
    <row r="12" spans="1:13">
      <c r="A12" t="s">
        <v>13</v>
      </c>
      <c r="B12" t="s">
        <v>0</v>
      </c>
      <c r="C12" s="1">
        <v>46260</v>
      </c>
      <c r="D12" s="1">
        <v>46282</v>
      </c>
      <c r="E12" s="1">
        <v>46310</v>
      </c>
      <c r="F12" s="1" t="s">
        <v>26</v>
      </c>
      <c r="G12" s="1">
        <v>46364</v>
      </c>
      <c r="I12" t="s">
        <v>13</v>
      </c>
      <c r="J12">
        <f>Tabela1[[#This Row],[Solicitação CNPJ]]-Tabela1[[#This Row],[Assinatura Contrato]]</f>
        <v>22</v>
      </c>
      <c r="K12">
        <f>Tabela1[[#This Row],[Emissão CNPJ]]-Tabela1[[#This Row],[Solicitação CNPJ]]</f>
        <v>28</v>
      </c>
      <c r="L12" t="s">
        <v>30</v>
      </c>
      <c r="M12" t="s">
        <v>30</v>
      </c>
    </row>
    <row r="13" spans="1:13">
      <c r="A13" t="s">
        <v>14</v>
      </c>
      <c r="B13" t="s">
        <v>5</v>
      </c>
      <c r="C13" s="1">
        <v>46150</v>
      </c>
      <c r="D13" s="1">
        <v>46108</v>
      </c>
      <c r="E13" s="1">
        <v>46146</v>
      </c>
      <c r="F13" s="1">
        <v>46184</v>
      </c>
      <c r="G13" s="1">
        <v>46374</v>
      </c>
      <c r="I13" t="s">
        <v>14</v>
      </c>
      <c r="J13">
        <f>Tabela1[[#This Row],[Solicitação CNPJ]]-Tabela1[[#This Row],[Assinatura Contrato]]</f>
        <v>-42</v>
      </c>
      <c r="K13">
        <f>Tabela1[[#This Row],[Emissão CNPJ]]-Tabela1[[#This Row],[Solicitação CNPJ]]</f>
        <v>38</v>
      </c>
      <c r="L13">
        <f>Tabela1[[#This Row],[Criação SAP]]-Tabela1[[#This Row],[Emissão CNPJ]]</f>
        <v>38</v>
      </c>
      <c r="M13">
        <f>Tabela1[[#This Row],[Inauguração]]-Tabela1[[#This Row],[Criação SAP]]</f>
        <v>190</v>
      </c>
    </row>
    <row r="14" spans="1:13">
      <c r="A14" t="s">
        <v>15</v>
      </c>
      <c r="B14" t="s">
        <v>0</v>
      </c>
      <c r="C14" s="1">
        <v>46260</v>
      </c>
      <c r="D14" s="1">
        <v>46283</v>
      </c>
      <c r="E14" s="1">
        <v>46310</v>
      </c>
      <c r="F14" s="1" t="s">
        <v>26</v>
      </c>
      <c r="G14" s="1">
        <v>46377</v>
      </c>
      <c r="I14" t="s">
        <v>15</v>
      </c>
      <c r="J14">
        <f>Tabela1[[#This Row],[Solicitação CNPJ]]-Tabela1[[#This Row],[Assinatura Contrato]]</f>
        <v>23</v>
      </c>
      <c r="K14">
        <f>Tabela1[[#This Row],[Emissão CNPJ]]-Tabela1[[#This Row],[Solicitação CNPJ]]</f>
        <v>27</v>
      </c>
      <c r="L14" t="s">
        <v>30</v>
      </c>
      <c r="M14" t="s">
        <v>30</v>
      </c>
    </row>
    <row r="15" spans="1:13">
      <c r="A15" t="s">
        <v>16</v>
      </c>
      <c r="B15" t="s">
        <v>0</v>
      </c>
      <c r="C15" s="1">
        <v>46265</v>
      </c>
      <c r="D15" s="1">
        <v>46315</v>
      </c>
      <c r="E15" s="1" t="s">
        <v>26</v>
      </c>
      <c r="F15" s="1" t="s">
        <v>26</v>
      </c>
      <c r="G15" s="1">
        <v>46377</v>
      </c>
      <c r="I15" t="s">
        <v>16</v>
      </c>
      <c r="J15">
        <f>Tabela1[[#This Row],[Solicitação CNPJ]]-Tabela1[[#This Row],[Assinatura Contrato]]</f>
        <v>50</v>
      </c>
      <c r="K15" t="s">
        <v>30</v>
      </c>
      <c r="L15" t="s">
        <v>30</v>
      </c>
      <c r="M15" t="s">
        <v>30</v>
      </c>
    </row>
    <row r="16" spans="1:13">
      <c r="A16" t="s">
        <v>17</v>
      </c>
      <c r="B16" t="s">
        <v>5</v>
      </c>
      <c r="C16" s="1">
        <v>46142</v>
      </c>
      <c r="D16" s="1">
        <v>46163</v>
      </c>
      <c r="E16" s="1">
        <v>46205</v>
      </c>
      <c r="F16" s="1">
        <v>46239</v>
      </c>
      <c r="G16" s="1">
        <v>46377</v>
      </c>
      <c r="I16" t="s">
        <v>17</v>
      </c>
      <c r="J16">
        <f>Tabela1[[#This Row],[Solicitação CNPJ]]-Tabela1[[#This Row],[Assinatura Contrato]]</f>
        <v>21</v>
      </c>
      <c r="K16">
        <f>Tabela1[[#This Row],[Emissão CNPJ]]-Tabela1[[#This Row],[Solicitação CNPJ]]</f>
        <v>42</v>
      </c>
      <c r="L16">
        <f>Tabela1[[#This Row],[Criação SAP]]-Tabela1[[#This Row],[Emissão CNPJ]]</f>
        <v>34</v>
      </c>
      <c r="M16">
        <f>Tabela1[[#This Row],[Inauguração]]-Tabela1[[#This Row],[Criação SAP]]</f>
        <v>138</v>
      </c>
    </row>
    <row r="17" spans="1:13">
      <c r="A17" t="s">
        <v>18</v>
      </c>
      <c r="B17" t="s">
        <v>5</v>
      </c>
      <c r="C17" s="1">
        <v>46157</v>
      </c>
      <c r="D17" s="1">
        <v>46202</v>
      </c>
      <c r="E17" s="1">
        <v>46231</v>
      </c>
      <c r="F17" s="1">
        <v>46275</v>
      </c>
      <c r="G17" s="1">
        <v>46378</v>
      </c>
      <c r="I17" t="s">
        <v>18</v>
      </c>
      <c r="J17">
        <f>Tabela1[[#This Row],[Solicitação CNPJ]]-Tabela1[[#This Row],[Assinatura Contrato]]</f>
        <v>45</v>
      </c>
      <c r="K17">
        <f>Tabela1[[#This Row],[Emissão CNPJ]]-Tabela1[[#This Row],[Solicitação CNPJ]]</f>
        <v>29</v>
      </c>
      <c r="L17">
        <f>Tabela1[[#This Row],[Criação SAP]]-Tabela1[[#This Row],[Emissão CNPJ]]</f>
        <v>44</v>
      </c>
      <c r="M17">
        <f>Tabela1[[#This Row],[Inauguração]]-Tabela1[[#This Row],[Criação SAP]]</f>
        <v>103</v>
      </c>
    </row>
    <row r="18" spans="1:13">
      <c r="A18" t="s">
        <v>19</v>
      </c>
      <c r="B18" t="s">
        <v>0</v>
      </c>
      <c r="C18" s="1">
        <v>46297</v>
      </c>
      <c r="D18" s="1">
        <v>46280</v>
      </c>
      <c r="E18" s="1">
        <v>46310</v>
      </c>
      <c r="F18" s="1" t="s">
        <v>26</v>
      </c>
      <c r="G18" s="1">
        <v>46379</v>
      </c>
      <c r="I18" t="s">
        <v>19</v>
      </c>
      <c r="J18">
        <f>Tabela1[[#This Row],[Solicitação CNPJ]]-Tabela1[[#This Row],[Assinatura Contrato]]</f>
        <v>-17</v>
      </c>
      <c r="K18">
        <f>Tabela1[[#This Row],[Emissão CNPJ]]-Tabela1[[#This Row],[Solicitação CNPJ]]</f>
        <v>30</v>
      </c>
      <c r="L18" t="s">
        <v>30</v>
      </c>
      <c r="M18" t="s">
        <v>30</v>
      </c>
    </row>
    <row r="19" spans="1:13">
      <c r="A19" t="s">
        <v>20</v>
      </c>
      <c r="B19" t="s">
        <v>5</v>
      </c>
      <c r="C19" s="1">
        <v>46213</v>
      </c>
      <c r="D19" s="1">
        <v>46230</v>
      </c>
      <c r="E19" s="1">
        <v>46281</v>
      </c>
      <c r="F19" s="1">
        <v>46307</v>
      </c>
      <c r="G19" s="1">
        <v>46384</v>
      </c>
      <c r="I19" t="s">
        <v>20</v>
      </c>
      <c r="J19">
        <f>Tabela1[[#This Row],[Solicitação CNPJ]]-Tabela1[[#This Row],[Assinatura Contrato]]</f>
        <v>17</v>
      </c>
      <c r="K19">
        <f>Tabela1[[#This Row],[Emissão CNPJ]]-Tabela1[[#This Row],[Solicitação CNPJ]]</f>
        <v>51</v>
      </c>
      <c r="L19">
        <f>Tabela1[[#This Row],[Criação SAP]]-Tabela1[[#This Row],[Emissão CNPJ]]</f>
        <v>26</v>
      </c>
      <c r="M19">
        <f>Tabela1[[#This Row],[Inauguração]]-Tabela1[[#This Row],[Criação SAP]]</f>
        <v>77</v>
      </c>
    </row>
    <row r="20" spans="1:13">
      <c r="A20" t="s">
        <v>21</v>
      </c>
      <c r="B20" t="s">
        <v>0</v>
      </c>
      <c r="C20" s="1">
        <v>46301</v>
      </c>
      <c r="D20" s="1">
        <v>46301</v>
      </c>
      <c r="E20" s="1">
        <v>46310</v>
      </c>
      <c r="F20" s="1" t="s">
        <v>26</v>
      </c>
      <c r="G20" s="1">
        <v>46386</v>
      </c>
      <c r="I20" t="s">
        <v>21</v>
      </c>
      <c r="J20">
        <f>Tabela1[[#This Row],[Solicitação CNPJ]]-Tabela1[[#This Row],[Assinatura Contrato]]</f>
        <v>0</v>
      </c>
      <c r="K20">
        <f>Tabela1[[#This Row],[Emissão CNPJ]]-Tabela1[[#This Row],[Solicitação CNPJ]]</f>
        <v>9</v>
      </c>
      <c r="L20" t="s">
        <v>30</v>
      </c>
      <c r="M20" t="s">
        <v>30</v>
      </c>
    </row>
    <row r="23" spans="1:13">
      <c r="J23" s="6"/>
      <c r="K23" s="7"/>
      <c r="L23" s="7"/>
      <c r="M23" s="7"/>
    </row>
    <row r="24" spans="1:13">
      <c r="J24" s="7"/>
      <c r="K24" s="8"/>
      <c r="L24" s="8"/>
      <c r="M24" s="8"/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Magalhães Costa Silva</dc:creator>
  <cp:lastModifiedBy>MINORU YAMANAKA</cp:lastModifiedBy>
  <dcterms:created xsi:type="dcterms:W3CDTF">2026-10-21T21:03:56Z</dcterms:created>
  <dcterms:modified xsi:type="dcterms:W3CDTF">2026-10-22T02:16:19Z</dcterms:modified>
</cp:coreProperties>
</file>